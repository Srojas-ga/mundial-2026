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filterPrivacy="1" codeName="ThisWorkbook"/>
  <xr:revisionPtr revIDLastSave="255" documentId="13_ncr:1_{DDBC8CFE-C8E5-4F86-9A9A-372684E7633A}" xr6:coauthVersionLast="47" xr6:coauthVersionMax="47" xr10:uidLastSave="{9D5E41FB-6149-46B7-8182-53E0B3C98EEC}"/>
  <bookViews>
    <workbookView xWindow="-120" yWindow="-120" windowWidth="28920" windowHeight="16065"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11" l="1"/>
  <c r="F48" i="11"/>
  <c r="E48" i="11"/>
  <c r="F47" i="11"/>
  <c r="E47" i="11"/>
  <c r="F46" i="11"/>
  <c r="E46" i="11"/>
  <c r="F44" i="11"/>
  <c r="E44" i="11"/>
  <c r="F43" i="11"/>
  <c r="E43" i="11"/>
  <c r="F42" i="11"/>
  <c r="E42" i="11"/>
  <c r="F41" i="11"/>
  <c r="E41" i="11"/>
  <c r="F39" i="11"/>
  <c r="E39" i="11"/>
  <c r="E38" i="11"/>
  <c r="F37" i="11"/>
  <c r="E37" i="11"/>
  <c r="F36" i="11"/>
  <c r="E36" i="11"/>
  <c r="H35" i="11"/>
  <c r="H40" i="11"/>
  <c r="H45" i="11"/>
  <c r="E3" i="11"/>
  <c r="H7" i="11"/>
  <c r="H36" i="11" l="1"/>
  <c r="E9" i="11"/>
  <c r="F38" i="11" l="1"/>
  <c r="H38" i="11"/>
  <c r="H37" i="11"/>
  <c r="F9" i="11"/>
  <c r="E10" i="11"/>
  <c r="F10" i="11" s="1"/>
  <c r="I5" i="11"/>
  <c r="H31" i="11"/>
  <c r="H25" i="11"/>
  <c r="H15" i="11"/>
  <c r="H12" i="11"/>
  <c r="H8" i="11"/>
  <c r="H39" i="11" l="1"/>
  <c r="E11" i="11"/>
  <c r="F11" i="11" s="1"/>
  <c r="E13" i="11" s="1"/>
  <c r="I6" i="11"/>
  <c r="H41" i="11" l="1"/>
  <c r="F13" i="11"/>
  <c r="E14" i="11" s="1"/>
  <c r="F14" i="11"/>
  <c r="E16" i="11" s="1"/>
  <c r="F16" i="11" s="1"/>
  <c r="H9" i="11"/>
  <c r="H10" i="11"/>
  <c r="H13" i="11"/>
  <c r="J5" i="11"/>
  <c r="K5" i="11" s="1"/>
  <c r="L5" i="11" s="1"/>
  <c r="M5" i="11" s="1"/>
  <c r="N5" i="11" s="1"/>
  <c r="O5" i="11" s="1"/>
  <c r="P5" i="11" s="1"/>
  <c r="I4" i="11"/>
  <c r="H42" i="11" l="1"/>
  <c r="E17" i="11"/>
  <c r="F17" i="11" s="1"/>
  <c r="H16" i="11"/>
  <c r="H14" i="11"/>
  <c r="H11" i="11"/>
  <c r="P4" i="11"/>
  <c r="Q5" i="11"/>
  <c r="R5" i="11" s="1"/>
  <c r="S5" i="11" s="1"/>
  <c r="T5" i="11" s="1"/>
  <c r="U5" i="11" s="1"/>
  <c r="V5" i="11" s="1"/>
  <c r="W5" i="11" s="1"/>
  <c r="J6" i="11"/>
  <c r="H43" i="11" l="1"/>
  <c r="E18" i="11"/>
  <c r="F18" i="11" s="1"/>
  <c r="H17" i="11"/>
  <c r="X5" i="11"/>
  <c r="Y5" i="11" s="1"/>
  <c r="Z5" i="11" s="1"/>
  <c r="AA5" i="11" s="1"/>
  <c r="AB5" i="11" s="1"/>
  <c r="AC5" i="11" s="1"/>
  <c r="AD5" i="11" s="1"/>
  <c r="K6" i="11"/>
  <c r="H44" i="11" l="1"/>
  <c r="H18" i="11"/>
  <c r="AE5" i="11"/>
  <c r="AF5" i="11" s="1"/>
  <c r="AG5" i="11" s="1"/>
  <c r="AH5" i="11" s="1"/>
  <c r="AI5" i="11" s="1"/>
  <c r="AJ5" i="11" s="1"/>
  <c r="AD4" i="11"/>
  <c r="L6" i="11"/>
  <c r="E19" i="11" l="1"/>
  <c r="F19" i="11" s="1"/>
  <c r="AK5" i="11"/>
  <c r="AL5" i="11" s="1"/>
  <c r="AM5" i="11" s="1"/>
  <c r="AN5" i="11" s="1"/>
  <c r="AO5" i="11" s="1"/>
  <c r="AP5" i="11" s="1"/>
  <c r="AQ5" i="11" s="1"/>
  <c r="M6" i="11"/>
  <c r="H46" i="11" l="1"/>
  <c r="H47" i="11"/>
  <c r="E20" i="11"/>
  <c r="F20" i="11" s="1"/>
  <c r="H19" i="11"/>
  <c r="AR5" i="11"/>
  <c r="AS5" i="11" s="1"/>
  <c r="AK4" i="11"/>
  <c r="N6" i="11"/>
  <c r="H48" i="11" l="1"/>
  <c r="E21" i="11"/>
  <c r="H20" i="11"/>
  <c r="AT5" i="11"/>
  <c r="AS6" i="11"/>
  <c r="AR4" i="11"/>
  <c r="O6" i="11"/>
  <c r="F21" i="11" l="1"/>
  <c r="E22" i="11" s="1"/>
  <c r="AT6" i="11"/>
  <c r="F22" i="11" l="1"/>
  <c r="E23" i="11" s="1"/>
  <c r="P6" i="11"/>
  <c r="F23" i="11" l="1"/>
  <c r="E24" i="11" s="1"/>
  <c r="F24" i="11" s="1"/>
  <c r="E26" i="11" s="1"/>
  <c r="R6" i="11"/>
  <c r="E27" i="11" l="1"/>
  <c r="F26" i="11"/>
  <c r="E28" i="11" s="1"/>
  <c r="H26" i="11"/>
  <c r="S6" i="11"/>
  <c r="AR6" i="11"/>
  <c r="AU5" i="11" s="1"/>
  <c r="AV5" i="11" s="1"/>
  <c r="AQ6" i="11"/>
  <c r="AP6" i="11"/>
  <c r="AO6" i="11"/>
  <c r="AN6" i="11"/>
  <c r="AM6" i="11"/>
  <c r="AL6" i="11"/>
  <c r="AK6" i="11"/>
  <c r="AJ6" i="11"/>
  <c r="AI6" i="11"/>
  <c r="AH6" i="11"/>
  <c r="AG6" i="11"/>
  <c r="AF6" i="11"/>
  <c r="AE6" i="11"/>
  <c r="AD6" i="11"/>
  <c r="AC6" i="11"/>
  <c r="AB6" i="11"/>
  <c r="AA6" i="11"/>
  <c r="Z6" i="11"/>
  <c r="Y6" i="11"/>
  <c r="X6" i="11"/>
  <c r="W6" i="11"/>
  <c r="V6" i="11"/>
  <c r="U6" i="11"/>
  <c r="T6" i="11"/>
  <c r="Q6" i="11"/>
  <c r="F28" i="11" l="1"/>
  <c r="E30" i="11" s="1"/>
  <c r="F30" i="11" s="1"/>
  <c r="E32" i="11" s="1"/>
  <c r="H28" i="11"/>
  <c r="F27" i="11"/>
  <c r="E29" i="11" s="1"/>
  <c r="H27" i="11"/>
  <c r="AW5" i="11"/>
  <c r="AX5" i="11" s="1"/>
  <c r="AV6" i="11"/>
  <c r="AU6" i="11"/>
  <c r="AW6" i="11"/>
  <c r="F32" i="11" l="1"/>
  <c r="F29" i="11"/>
  <c r="H29" i="11"/>
  <c r="H30" i="11"/>
  <c r="AY5" i="11"/>
  <c r="E33" i="11" l="1"/>
  <c r="H32" i="11"/>
  <c r="AZ5" i="11"/>
  <c r="AY6" i="11"/>
  <c r="AY4" i="11"/>
  <c r="AX6" i="11" s="1"/>
  <c r="F33" i="11" l="1"/>
  <c r="BA5" i="11"/>
  <c r="AZ6" i="11"/>
  <c r="E34" i="11" l="1"/>
  <c r="H33" i="11"/>
  <c r="BB5" i="11"/>
  <c r="BA6" i="11"/>
  <c r="F34" i="11" l="1"/>
  <c r="H34" i="11" s="1"/>
  <c r="BB6" i="11"/>
  <c r="BC5" i="11"/>
  <c r="BD5" i="11" l="1"/>
  <c r="BC6" i="11"/>
  <c r="BE5" i="11" l="1"/>
  <c r="BD6" i="11"/>
  <c r="BF5" i="11" l="1"/>
  <c r="BF4" i="11" l="1"/>
  <c r="BE6" i="11" s="1"/>
  <c r="BF6" i="11"/>
  <c r="BG5" i="11"/>
  <c r="BG6" i="11" l="1"/>
  <c r="BH5" i="11"/>
  <c r="BI5" i="11" l="1"/>
  <c r="BH6" i="11"/>
  <c r="BJ5" i="11" l="1"/>
  <c r="BI6" i="11"/>
  <c r="BK5" i="11" l="1"/>
  <c r="BJ6" i="11"/>
  <c r="BL5" i="11" l="1"/>
  <c r="BL6" i="11" s="1"/>
  <c r="BK6" i="11"/>
</calcChain>
</file>

<file path=xl/sharedStrings.xml><?xml version="1.0" encoding="utf-8"?>
<sst xmlns="http://schemas.openxmlformats.org/spreadsheetml/2006/main" count="82" uniqueCount="81">
  <si>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</si>
  <si>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Mundial 2026 Hub</t>
  </si>
  <si>
    <t>Escriba el nombre de la compañía en la celda B2.</t>
  </si>
  <si>
    <t>Universidad El Bosque</t>
  </si>
  <si>
    <t>Escriba el nombre del responsable del proyecto en la celda B3. Escriba la fecha de comienzo del proyecto en la celda E3. Inicio del proyecto: la etiqueta se encuentra en la celda C3.</t>
  </si>
  <si>
    <t>Ingeniería de Software I</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</si>
  <si>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</si>
  <si>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</si>
  <si>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</si>
  <si>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</si>
  <si>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</si>
  <si>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</si>
  <si>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</si>
  <si>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</si>
  <si>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</si>
  <si>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</si>
  <si>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</si>
  <si>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</si>
  <si>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</si>
  <si>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Fase 1 – Planeación Inicial</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</si>
  <si>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</si>
  <si>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Elaboración del Diagrama de Gantt</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</si>
  <si>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</si>
  <si>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Configuración del proyecto en JIRA (backlog inicial)</t>
  </si>
  <si>
    <t>Primer avance (visión, roles, restricciones)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</si>
  <si>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</si>
  <si>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Fase 2 – Acta de Constitución</t>
  </si>
  <si>
    <t>Elaboración del Acta de Constitución</t>
  </si>
  <si>
    <t>Revisión y ajustes del acta</t>
  </si>
  <si>
    <t>Bloque de título fase de ejemplo</t>
  </si>
  <si>
    <t>Fase 3 – Análisis de Requerimientos</t>
  </si>
  <si>
    <t>Identificación de procesos de negocio</t>
  </si>
  <si>
    <t>Identificación de stakeholders</t>
  </si>
  <si>
    <t>Elaboración EDT / WBS</t>
  </si>
  <si>
    <t>Definición de requerimientos funcionales</t>
  </si>
  <si>
    <t>Definición de requerimientos no funcionales</t>
  </si>
  <si>
    <t>Priorización (MoSCoW)</t>
  </si>
  <si>
    <t>Modelado de casos de uso</t>
  </si>
  <si>
    <t>Historias de usuario (JIRA)</t>
  </si>
  <si>
    <t>Identificación de riesgos</t>
  </si>
  <si>
    <t>Fase 4 – Diseño</t>
  </si>
  <si>
    <t>Prototipos en Figma</t>
  </si>
  <si>
    <t>Diagramas UML (casos de uso, clases)</t>
  </si>
  <si>
    <t>Diagramas C4 (contexto, componentes)</t>
  </si>
  <si>
    <t>Diagramas de secuencia</t>
  </si>
  <si>
    <t>Modelo de datos (lógico y físico)</t>
  </si>
  <si>
    <t>Esta es una fila vacía.</t>
  </si>
  <si>
    <t>Fase 5 – Implementación</t>
  </si>
  <si>
    <t>Esta fila indica el final de la programación del proyecto. NO escriba nada en esta fila. 
Inserte nuevas filas encima de ésta para continuar creando la programación del proyecto.</t>
  </si>
  <si>
    <t>Autenticación y perfil / Configuración base backend/frontend</t>
  </si>
  <si>
    <t>Agenda personalizada / Seguimiento de partidos</t>
  </si>
  <si>
    <t>Pollas y ranking / Álbum digital / Notificaciones</t>
  </si>
  <si>
    <t>Fase 6 – DevOps</t>
  </si>
  <si>
    <t>Configuración repositorio GitHub</t>
  </si>
  <si>
    <t>Configuración CI/CD</t>
  </si>
  <si>
    <t>Integración SonarCloud</t>
  </si>
  <si>
    <t>Implementación logs centralizados</t>
  </si>
  <si>
    <t>Fase 7 – Pruebas</t>
  </si>
  <si>
    <t>Pruebas unitarias</t>
  </si>
  <si>
    <t>Pruebas de integración</t>
  </si>
  <si>
    <t>Validación de trazabilidad</t>
  </si>
  <si>
    <t>Corrección de errores</t>
  </si>
  <si>
    <t>Fase 8 – Entrega Final</t>
  </si>
  <si>
    <t>Consolidación documentación</t>
  </si>
  <si>
    <t>Preparación informe final</t>
  </si>
  <si>
    <t>Entrega final del proyecto</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</si>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</sst>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
    <numFmt numFmtId="168" formatCode="ddd\,\ yyyy\-mm\-dd;@"/>
    <numFmt numFmtId="169" formatCode="d\ &quot;de&quot;\ mmmm\ &quot;de&quot;\ yyyy"/>
  </numFmts>
  <fonts count="33">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8"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66"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1"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22" fillId="0" borderId="0" applyNumberFormat="0" applyFill="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9" applyNumberFormat="0" applyAlignment="0" applyProtection="0"/>
    <xf numFmtId="0" fontId="27" fillId="17" borderId="10" applyNumberFormat="0" applyAlignment="0" applyProtection="0"/>
    <xf numFmtId="0" fontId="28" fillId="17" borderId="9" applyNumberFormat="0" applyAlignment="0" applyProtection="0"/>
    <xf numFmtId="0" fontId="29" fillId="0" borderId="11" applyNumberFormat="0" applyFill="0" applyAlignment="0" applyProtection="0"/>
    <xf numFmtId="0" fontId="30" fillId="18" borderId="12" applyNumberFormat="0" applyAlignment="0" applyProtection="0"/>
    <xf numFmtId="0" fontId="31" fillId="0" borderId="0" applyNumberFormat="0" applyFill="0" applyBorder="0" applyAlignment="0" applyProtection="0"/>
    <xf numFmtId="0" fontId="7" fillId="19" borderId="13" applyNumberFormat="0" applyFont="0" applyAlignment="0" applyProtection="0"/>
    <xf numFmtId="0" fontId="32" fillId="0" borderId="0" applyNumberFormat="0" applyFill="0" applyBorder="0" applyAlignment="0" applyProtection="0"/>
    <xf numFmtId="0" fontId="5" fillId="0" borderId="14" applyNumberFormat="0" applyFill="0" applyAlignment="0" applyProtection="0"/>
    <xf numFmtId="0" fontId="18"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18"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18"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18"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18"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18"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cellStyleXfs>
  <cellXfs count="7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0" fontId="10" fillId="11" borderId="6" xfId="0" applyFont="1" applyFill="1" applyBorder="1" applyAlignment="1">
      <alignment horizontal="center" vertical="center" shrinkToFit="1"/>
    </xf>
    <xf numFmtId="0" fontId="4" fillId="0" borderId="2" xfId="0" applyFont="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9" borderId="2" xfId="2" applyFont="1" applyFill="1" applyBorder="1" applyAlignment="1">
      <alignment horizontal="center" vertical="center"/>
    </xf>
    <xf numFmtId="0" fontId="0" fillId="0" borderId="7" xfId="0" applyBorder="1" applyAlignment="1">
      <alignment vertical="center"/>
    </xf>
    <xf numFmtId="0" fontId="0" fillId="0" borderId="7"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17" fillId="0" borderId="0" xfId="0" applyFont="1" applyAlignment="1">
      <alignment vertical="center"/>
    </xf>
    <xf numFmtId="0" fontId="16" fillId="0" borderId="0" xfId="0" applyFont="1" applyAlignment="1">
      <alignment horizontal="left" vertical="top" wrapText="1" indent="1"/>
    </xf>
    <xf numFmtId="0" fontId="2" fillId="0" borderId="0" xfId="0" applyFont="1" applyAlignment="1">
      <alignment horizontal="left" vertical="top"/>
    </xf>
    <xf numFmtId="0" fontId="14"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18" fillId="0" borderId="0" xfId="3"/>
    <xf numFmtId="0" fontId="18" fillId="0" borderId="0" xfId="3" applyAlignment="1">
      <alignment wrapText="1"/>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7" borderId="2" xfId="11" applyFill="1">
      <alignment horizontal="center" vertical="center"/>
    </xf>
    <xf numFmtId="0" fontId="7" fillId="2" borderId="2" xfId="11" applyFill="1">
      <alignment horizontal="center" vertical="center"/>
    </xf>
    <xf numFmtId="0" fontId="7" fillId="8" borderId="2" xfId="11" applyFill="1">
      <alignment horizontal="center" vertical="center"/>
    </xf>
    <xf numFmtId="0" fontId="7" fillId="3"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4" borderId="2" xfId="11" applyFill="1">
      <alignment horizontal="center" vertical="center"/>
    </xf>
    <xf numFmtId="0" fontId="7" fillId="9" borderId="2" xfId="11" applyFill="1">
      <alignment horizontal="center" vertical="center"/>
    </xf>
    <xf numFmtId="0" fontId="7" fillId="2" borderId="2" xfId="12" applyFill="1">
      <alignment horizontal="left" vertical="center" indent="2"/>
    </xf>
    <xf numFmtId="0" fontId="7" fillId="3" borderId="2" xfId="12" applyFill="1">
      <alignment horizontal="left" vertical="center" indent="2"/>
    </xf>
    <xf numFmtId="0" fontId="7" fillId="10" borderId="2" xfId="12" applyFill="1">
      <alignment horizontal="left" vertical="center" indent="2"/>
    </xf>
    <xf numFmtId="0" fontId="7" fillId="9" borderId="2" xfId="12" applyFill="1">
      <alignment horizontal="left" vertical="center" indent="2"/>
    </xf>
    <xf numFmtId="0" fontId="0" fillId="0" borderId="8" xfId="0" applyBorder="1"/>
    <xf numFmtId="0" fontId="19" fillId="0" borderId="0" xfId="0" applyFont="1"/>
    <xf numFmtId="0" fontId="20" fillId="0" borderId="0" xfId="1" applyFont="1" applyProtection="1">
      <alignment vertical="top"/>
    </xf>
    <xf numFmtId="0" fontId="4" fillId="0" borderId="0" xfId="0" applyFont="1" applyAlignment="1">
      <alignment vertical="top"/>
    </xf>
    <xf numFmtId="166" fontId="0" fillId="7" borderId="2" xfId="0" applyNumberFormat="1" applyFill="1" applyBorder="1" applyAlignment="1">
      <alignment horizontal="center" vertical="center"/>
    </xf>
    <xf numFmtId="166" fontId="4" fillId="7" borderId="2" xfId="0" applyNumberFormat="1" applyFont="1" applyFill="1" applyBorder="1" applyAlignment="1">
      <alignment horizontal="center" vertical="center"/>
    </xf>
    <xf numFmtId="166" fontId="7" fillId="2" borderId="2" xfId="10" applyFill="1">
      <alignment horizontal="center" vertical="center"/>
    </xf>
    <xf numFmtId="166" fontId="0" fillId="8" borderId="2" xfId="0" applyNumberFormat="1" applyFill="1" applyBorder="1" applyAlignment="1">
      <alignment horizontal="center" vertical="center"/>
    </xf>
    <xf numFmtId="166" fontId="4" fillId="8" borderId="2" xfId="0" applyNumberFormat="1" applyFont="1" applyFill="1" applyBorder="1" applyAlignment="1">
      <alignment horizontal="center" vertical="center"/>
    </xf>
    <xf numFmtId="166" fontId="7" fillId="3" borderId="2" xfId="10" applyFill="1">
      <alignment horizontal="center" vertical="center"/>
    </xf>
    <xf numFmtId="166" fontId="0" fillId="5" borderId="2" xfId="0" applyNumberFormat="1" applyFill="1" applyBorder="1" applyAlignment="1">
      <alignment horizontal="center" vertical="center"/>
    </xf>
    <xf numFmtId="166" fontId="4" fillId="5" borderId="2" xfId="0" applyNumberFormat="1" applyFont="1" applyFill="1" applyBorder="1" applyAlignment="1">
      <alignment horizontal="center" vertical="center"/>
    </xf>
    <xf numFmtId="166" fontId="7" fillId="10" borderId="2" xfId="10" applyFill="1">
      <alignment horizontal="center" vertical="center"/>
    </xf>
    <xf numFmtId="166" fontId="0" fillId="4" borderId="2" xfId="0" applyNumberFormat="1" applyFill="1" applyBorder="1" applyAlignment="1">
      <alignment horizontal="center" vertical="center"/>
    </xf>
    <xf numFmtId="166" fontId="4" fillId="4" borderId="2" xfId="0" applyNumberFormat="1" applyFont="1" applyFill="1" applyBorder="1" applyAlignment="1">
      <alignment horizontal="center" vertical="center"/>
    </xf>
    <xf numFmtId="166" fontId="7" fillId="9" borderId="2" xfId="10" applyFill="1">
      <alignment horizontal="center" vertical="center"/>
    </xf>
    <xf numFmtId="167" fontId="9" fillId="6" borderId="4" xfId="0" applyNumberFormat="1" applyFont="1" applyFill="1" applyBorder="1" applyAlignment="1">
      <alignment horizontal="center" vertical="center"/>
    </xf>
    <xf numFmtId="167" fontId="9" fillId="6" borderId="0" xfId="0" applyNumberFormat="1" applyFont="1" applyFill="1" applyAlignment="1">
      <alignment horizontal="center" vertical="center"/>
    </xf>
    <xf numFmtId="167" fontId="9" fillId="6" borderId="5" xfId="0" applyNumberFormat="1" applyFont="1" applyFill="1" applyBorder="1" applyAlignment="1">
      <alignment horizontal="center" vertical="center"/>
    </xf>
    <xf numFmtId="9" fontId="7" fillId="2" borderId="2" xfId="11" applyNumberFormat="1" applyFill="1">
      <alignment horizontal="center" vertical="center"/>
    </xf>
    <xf numFmtId="0" fontId="7" fillId="0" borderId="0" xfId="8">
      <alignment horizontal="right" indent="1"/>
    </xf>
    <xf numFmtId="0" fontId="7" fillId="0" borderId="5" xfId="8" applyBorder="1">
      <alignment horizontal="right" indent="1"/>
    </xf>
    <xf numFmtId="168" fontId="7" fillId="0" borderId="3" xfId="9">
      <alignment horizontal="center" vertical="center"/>
    </xf>
    <xf numFmtId="169" fontId="0" fillId="6" borderId="15" xfId="0" applyNumberFormat="1" applyFill="1" applyBorder="1" applyAlignment="1">
      <alignment horizontal="center" vertical="center" wrapText="1" inden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8"/>
  <sheetViews>
    <sheetView showGridLines="0" tabSelected="1" showRuler="0" zoomScaleNormal="100" zoomScalePageLayoutView="70" workbookViewId="0">
      <pane ySplit="6" topLeftCell="A25" activePane="bottomLeft" state="frozen"/>
      <selection pane="bottomLeft" activeCell="D30" sqref="D30"/>
    </sheetView>
  </sheetViews>
  <sheetFormatPr defaultColWidth="9.140625" defaultRowHeight="30" customHeight="1"/>
  <cols>
    <col min="1" max="1" width="2.7109375" style="36" customWidth="1"/>
    <col min="2" max="2" width="29.7109375" customWidth="1"/>
    <col min="3" max="3" width="30.7109375" customWidth="1"/>
    <col min="4" max="4" width="10.7109375" customWidth="1"/>
    <col min="5" max="5" width="19.7109375" style="5" customWidth="1"/>
    <col min="6" max="6" width="10.42578125" customWidth="1"/>
    <col min="7" max="7" width="3.140625" customWidth="1"/>
    <col min="8" max="8" width="6.140625" hidden="1" customWidth="1"/>
    <col min="9" max="64" width="3.140625" customWidth="1"/>
    <col min="65" max="65" width="9.140625" bestFit="1" customWidth="1"/>
    <col min="69" max="70" width="10.28515625"/>
  </cols>
  <sheetData>
    <row r="1" spans="1:64" ht="30" customHeight="1">
      <c r="A1" s="37" t="s">
        <v>0</v>
      </c>
      <c r="B1" s="39" t="s">
        <v>1</v>
      </c>
      <c r="C1" s="1"/>
      <c r="D1" s="2"/>
      <c r="E1" s="4"/>
      <c r="F1" s="25"/>
      <c r="H1" s="2"/>
      <c r="I1" s="55"/>
    </row>
    <row r="2" spans="1:64" ht="30" customHeight="1">
      <c r="A2" s="36" t="s">
        <v>2</v>
      </c>
      <c r="B2" s="40" t="s">
        <v>3</v>
      </c>
      <c r="I2" s="56"/>
    </row>
    <row r="3" spans="1:64" ht="30" customHeight="1">
      <c r="A3" s="36" t="s">
        <v>4</v>
      </c>
      <c r="B3" s="41" t="s">
        <v>5</v>
      </c>
      <c r="C3" s="74" t="s">
        <v>6</v>
      </c>
      <c r="D3" s="75"/>
      <c r="E3" s="76">
        <f>DATE(2026, 2, 17)</f>
        <v>46070</v>
      </c>
      <c r="F3" s="76"/>
    </row>
    <row r="4" spans="1:64" ht="30" customHeight="1">
      <c r="A4" s="37" t="s">
        <v>7</v>
      </c>
      <c r="C4" s="74" t="s">
        <v>8</v>
      </c>
      <c r="D4" s="75"/>
      <c r="E4" s="6">
        <v>1</v>
      </c>
      <c r="I4" s="77">
        <f>I5</f>
        <v>46069</v>
      </c>
      <c r="J4" s="77"/>
      <c r="K4" s="77"/>
      <c r="L4" s="77"/>
      <c r="M4" s="77"/>
      <c r="N4" s="77"/>
      <c r="O4" s="77"/>
      <c r="P4" s="77">
        <f>P5</f>
        <v>46076</v>
      </c>
      <c r="Q4" s="77"/>
      <c r="R4" s="77"/>
      <c r="S4" s="77"/>
      <c r="T4" s="77"/>
      <c r="U4" s="77"/>
      <c r="V4" s="77"/>
      <c r="W4" s="77">
        <f>W5</f>
        <v>46083</v>
      </c>
      <c r="X4" s="77"/>
      <c r="Y4" s="77"/>
      <c r="Z4" s="77"/>
      <c r="AA4" s="77"/>
      <c r="AB4" s="77"/>
      <c r="AC4" s="77"/>
      <c r="AD4" s="77">
        <f>AD5</f>
        <v>46090</v>
      </c>
      <c r="AE4" s="77"/>
      <c r="AF4" s="77"/>
      <c r="AG4" s="77"/>
      <c r="AH4" s="77"/>
      <c r="AI4" s="77"/>
      <c r="AJ4" s="77"/>
      <c r="AK4" s="77">
        <f>AK5</f>
        <v>46097</v>
      </c>
      <c r="AL4" s="77"/>
      <c r="AM4" s="77"/>
      <c r="AN4" s="77"/>
      <c r="AO4" s="77"/>
      <c r="AP4" s="77"/>
      <c r="AQ4" s="77"/>
      <c r="AR4" s="77">
        <f>AR5</f>
        <v>46104</v>
      </c>
      <c r="AS4" s="77"/>
      <c r="AT4" s="77"/>
      <c r="AU4" s="77"/>
      <c r="AV4" s="77"/>
      <c r="AW4" s="77"/>
      <c r="AX4" s="77"/>
      <c r="AY4" s="77">
        <f>AY5</f>
        <v>46111</v>
      </c>
      <c r="AZ4" s="77"/>
      <c r="BA4" s="77"/>
      <c r="BB4" s="77"/>
      <c r="BC4" s="77"/>
      <c r="BD4" s="77"/>
      <c r="BE4" s="77"/>
      <c r="BF4" s="77">
        <f>BF5</f>
        <v>46118</v>
      </c>
      <c r="BG4" s="77"/>
      <c r="BH4" s="77"/>
      <c r="BI4" s="77"/>
      <c r="BJ4" s="77"/>
      <c r="BK4" s="77"/>
      <c r="BL4" s="77"/>
    </row>
    <row r="5" spans="1:64" ht="15" customHeight="1">
      <c r="A5" s="37" t="s">
        <v>9</v>
      </c>
      <c r="B5" s="54"/>
      <c r="C5" s="54"/>
      <c r="D5" s="54"/>
      <c r="E5" s="54"/>
      <c r="F5" s="54"/>
      <c r="G5" s="54"/>
      <c r="I5" s="70">
        <f>Inicio_del_proyecto-WEEKDAY(Inicio_del_proyecto,1)+2+7*(Semana_para_mostrar-1)</f>
        <v>46069</v>
      </c>
      <c r="J5" s="71">
        <f>I5+1</f>
        <v>46070</v>
      </c>
      <c r="K5" s="71">
        <f t="shared" ref="K5:AX5" si="0">J5+1</f>
        <v>46071</v>
      </c>
      <c r="L5" s="71">
        <f t="shared" si="0"/>
        <v>46072</v>
      </c>
      <c r="M5" s="71">
        <f t="shared" si="0"/>
        <v>46073</v>
      </c>
      <c r="N5" s="71">
        <f t="shared" si="0"/>
        <v>46074</v>
      </c>
      <c r="O5" s="72">
        <f t="shared" si="0"/>
        <v>46075</v>
      </c>
      <c r="P5" s="70">
        <f>O5+1</f>
        <v>46076</v>
      </c>
      <c r="Q5" s="71">
        <f>P5+1</f>
        <v>46077</v>
      </c>
      <c r="R5" s="71">
        <f t="shared" si="0"/>
        <v>46078</v>
      </c>
      <c r="S5" s="71">
        <f t="shared" si="0"/>
        <v>46079</v>
      </c>
      <c r="T5" s="71">
        <f t="shared" si="0"/>
        <v>46080</v>
      </c>
      <c r="U5" s="71">
        <f t="shared" si="0"/>
        <v>46081</v>
      </c>
      <c r="V5" s="72">
        <f t="shared" si="0"/>
        <v>46082</v>
      </c>
      <c r="W5" s="70">
        <f>V5+1</f>
        <v>46083</v>
      </c>
      <c r="X5" s="71">
        <f>W5+1</f>
        <v>46084</v>
      </c>
      <c r="Y5" s="71">
        <f t="shared" si="0"/>
        <v>46085</v>
      </c>
      <c r="Z5" s="71">
        <f t="shared" si="0"/>
        <v>46086</v>
      </c>
      <c r="AA5" s="71">
        <f t="shared" si="0"/>
        <v>46087</v>
      </c>
      <c r="AB5" s="71">
        <f t="shared" si="0"/>
        <v>46088</v>
      </c>
      <c r="AC5" s="72">
        <f t="shared" si="0"/>
        <v>46089</v>
      </c>
      <c r="AD5" s="70">
        <f>AC5+1</f>
        <v>46090</v>
      </c>
      <c r="AE5" s="71">
        <f>AD5+1</f>
        <v>46091</v>
      </c>
      <c r="AF5" s="71">
        <f t="shared" si="0"/>
        <v>46092</v>
      </c>
      <c r="AG5" s="71">
        <f t="shared" si="0"/>
        <v>46093</v>
      </c>
      <c r="AH5" s="71">
        <f t="shared" si="0"/>
        <v>46094</v>
      </c>
      <c r="AI5" s="71">
        <f t="shared" si="0"/>
        <v>46095</v>
      </c>
      <c r="AJ5" s="72">
        <f t="shared" si="0"/>
        <v>46096</v>
      </c>
      <c r="AK5" s="70">
        <f>AJ5+1</f>
        <v>46097</v>
      </c>
      <c r="AL5" s="71">
        <f>AK5+1</f>
        <v>46098</v>
      </c>
      <c r="AM5" s="71">
        <f t="shared" si="0"/>
        <v>46099</v>
      </c>
      <c r="AN5" s="71">
        <f t="shared" si="0"/>
        <v>46100</v>
      </c>
      <c r="AO5" s="71">
        <f t="shared" si="0"/>
        <v>46101</v>
      </c>
      <c r="AP5" s="71">
        <f t="shared" si="0"/>
        <v>46102</v>
      </c>
      <c r="AQ5" s="72">
        <f t="shared" si="0"/>
        <v>46103</v>
      </c>
      <c r="AR5" s="70">
        <f>AQ5+1</f>
        <v>46104</v>
      </c>
      <c r="AS5" s="71">
        <f>AR5+1</f>
        <v>46105</v>
      </c>
      <c r="AT5" s="71">
        <f t="shared" si="0"/>
        <v>46106</v>
      </c>
      <c r="AU5" s="71">
        <f t="shared" si="0"/>
        <v>46107</v>
      </c>
      <c r="AV5" s="71">
        <f t="shared" si="0"/>
        <v>46108</v>
      </c>
      <c r="AW5" s="71">
        <f t="shared" si="0"/>
        <v>46109</v>
      </c>
      <c r="AX5" s="72">
        <f t="shared" si="0"/>
        <v>46110</v>
      </c>
      <c r="AY5" s="70">
        <f>AX5+1</f>
        <v>46111</v>
      </c>
      <c r="AZ5" s="71">
        <f>AY5+1</f>
        <v>46112</v>
      </c>
      <c r="BA5" s="71">
        <f t="shared" ref="BA5:BE5" si="1">AZ5+1</f>
        <v>46113</v>
      </c>
      <c r="BB5" s="71">
        <f t="shared" si="1"/>
        <v>46114</v>
      </c>
      <c r="BC5" s="71">
        <f t="shared" si="1"/>
        <v>46115</v>
      </c>
      <c r="BD5" s="71">
        <f t="shared" si="1"/>
        <v>46116</v>
      </c>
      <c r="BE5" s="72">
        <f t="shared" si="1"/>
        <v>46117</v>
      </c>
      <c r="BF5" s="70">
        <f>BE5+1</f>
        <v>46118</v>
      </c>
      <c r="BG5" s="71">
        <f>BF5+1</f>
        <v>46119</v>
      </c>
      <c r="BH5" s="71">
        <f t="shared" ref="BH5:BL5" si="2">BG5+1</f>
        <v>46120</v>
      </c>
      <c r="BI5" s="71">
        <f t="shared" si="2"/>
        <v>46121</v>
      </c>
      <c r="BJ5" s="71">
        <f t="shared" si="2"/>
        <v>46122</v>
      </c>
      <c r="BK5" s="71">
        <f t="shared" si="2"/>
        <v>46123</v>
      </c>
      <c r="BL5" s="72">
        <f t="shared" si="2"/>
        <v>46124</v>
      </c>
    </row>
    <row r="6" spans="1:64" ht="30" customHeight="1">
      <c r="A6" s="37" t="s">
        <v>10</v>
      </c>
      <c r="B6" s="7" t="s">
        <v>11</v>
      </c>
      <c r="C6" s="8" t="s">
        <v>12</v>
      </c>
      <c r="D6" s="8" t="s">
        <v>13</v>
      </c>
      <c r="E6" s="8" t="s">
        <v>14</v>
      </c>
      <c r="F6" s="8" t="s">
        <v>15</v>
      </c>
      <c r="G6" s="8"/>
      <c r="H6" s="8" t="s">
        <v>16</v>
      </c>
      <c r="I6" s="9" t="str">
        <f t="shared" ref="I6" si="3">LEFT(TEXT(I5,"ddd"),1)</f>
        <v>l</v>
      </c>
      <c r="J6" s="9" t="str">
        <f t="shared" ref="J6:AR6" si="4">LEFT(TEXT(J5,"ddd"),1)</f>
        <v>m</v>
      </c>
      <c r="K6" s="9" t="str">
        <f t="shared" si="4"/>
        <v>m</v>
      </c>
      <c r="L6" s="9" t="str">
        <f t="shared" si="4"/>
        <v>j</v>
      </c>
      <c r="M6" s="9" t="str">
        <f t="shared" si="4"/>
        <v>v</v>
      </c>
      <c r="N6" s="9" t="str">
        <f t="shared" si="4"/>
        <v>s</v>
      </c>
      <c r="O6" s="9" t="str">
        <f t="shared" si="4"/>
        <v>d</v>
      </c>
      <c r="P6" s="9" t="str">
        <f t="shared" si="4"/>
        <v>l</v>
      </c>
      <c r="Q6" s="9" t="str">
        <f t="shared" si="4"/>
        <v>m</v>
      </c>
      <c r="R6" s="9" t="str">
        <f t="shared" si="4"/>
        <v>m</v>
      </c>
      <c r="S6" s="9" t="str">
        <f t="shared" si="4"/>
        <v>j</v>
      </c>
      <c r="T6" s="9" t="str">
        <f t="shared" si="4"/>
        <v>v</v>
      </c>
      <c r="U6" s="9" t="str">
        <f t="shared" si="4"/>
        <v>s</v>
      </c>
      <c r="V6" s="9" t="str">
        <f t="shared" si="4"/>
        <v>d</v>
      </c>
      <c r="W6" s="9" t="str">
        <f t="shared" si="4"/>
        <v>l</v>
      </c>
      <c r="X6" s="9" t="str">
        <f t="shared" si="4"/>
        <v>m</v>
      </c>
      <c r="Y6" s="9" t="str">
        <f t="shared" si="4"/>
        <v>m</v>
      </c>
      <c r="Z6" s="9" t="str">
        <f t="shared" si="4"/>
        <v>j</v>
      </c>
      <c r="AA6" s="9" t="str">
        <f t="shared" si="4"/>
        <v>v</v>
      </c>
      <c r="AB6" s="9" t="str">
        <f t="shared" si="4"/>
        <v>s</v>
      </c>
      <c r="AC6" s="9" t="str">
        <f t="shared" si="4"/>
        <v>d</v>
      </c>
      <c r="AD6" s="9" t="str">
        <f t="shared" si="4"/>
        <v>l</v>
      </c>
      <c r="AE6" s="9" t="str">
        <f t="shared" si="4"/>
        <v>m</v>
      </c>
      <c r="AF6" s="9" t="str">
        <f t="shared" si="4"/>
        <v>m</v>
      </c>
      <c r="AG6" s="9" t="str">
        <f t="shared" si="4"/>
        <v>j</v>
      </c>
      <c r="AH6" s="9" t="str">
        <f t="shared" si="4"/>
        <v>v</v>
      </c>
      <c r="AI6" s="9" t="str">
        <f t="shared" si="4"/>
        <v>s</v>
      </c>
      <c r="AJ6" s="9" t="str">
        <f t="shared" si="4"/>
        <v>d</v>
      </c>
      <c r="AK6" s="9" t="str">
        <f t="shared" si="4"/>
        <v>l</v>
      </c>
      <c r="AL6" s="9" t="str">
        <f t="shared" si="4"/>
        <v>m</v>
      </c>
      <c r="AM6" s="9" t="str">
        <f t="shared" si="4"/>
        <v>m</v>
      </c>
      <c r="AN6" s="9" t="str">
        <f t="shared" si="4"/>
        <v>j</v>
      </c>
      <c r="AO6" s="9" t="str">
        <f t="shared" si="4"/>
        <v>v</v>
      </c>
      <c r="AP6" s="9" t="str">
        <f t="shared" si="4"/>
        <v>s</v>
      </c>
      <c r="AQ6" s="9" t="str">
        <f t="shared" si="4"/>
        <v>d</v>
      </c>
      <c r="AR6" s="9" t="str">
        <f t="shared" si="4"/>
        <v>l</v>
      </c>
      <c r="AS6" s="9" t="str">
        <f t="shared" ref="AS6:BL6" si="5">LEFT(TEXT(AS5,"ddd"),1)</f>
        <v>m</v>
      </c>
      <c r="AT6" s="9" t="str">
        <f t="shared" si="5"/>
        <v>m</v>
      </c>
      <c r="AU6" s="9" t="str">
        <f t="shared" si="5"/>
        <v>j</v>
      </c>
      <c r="AV6" s="9" t="str">
        <f t="shared" si="5"/>
        <v>v</v>
      </c>
      <c r="AW6" s="9" t="str">
        <f t="shared" si="5"/>
        <v>s</v>
      </c>
      <c r="AX6" s="9" t="str">
        <f t="shared" si="5"/>
        <v>d</v>
      </c>
      <c r="AY6" s="9" t="str">
        <f t="shared" si="5"/>
        <v>l</v>
      </c>
      <c r="AZ6" s="9" t="str">
        <f t="shared" si="5"/>
        <v>m</v>
      </c>
      <c r="BA6" s="9" t="str">
        <f t="shared" si="5"/>
        <v>m</v>
      </c>
      <c r="BB6" s="9" t="str">
        <f t="shared" si="5"/>
        <v>j</v>
      </c>
      <c r="BC6" s="9" t="str">
        <f t="shared" si="5"/>
        <v>v</v>
      </c>
      <c r="BD6" s="9" t="str">
        <f t="shared" si="5"/>
        <v>s</v>
      </c>
      <c r="BE6" s="9" t="str">
        <f t="shared" si="5"/>
        <v>d</v>
      </c>
      <c r="BF6" s="9" t="str">
        <f t="shared" si="5"/>
        <v>l</v>
      </c>
      <c r="BG6" s="9" t="str">
        <f t="shared" si="5"/>
        <v>m</v>
      </c>
      <c r="BH6" s="9" t="str">
        <f t="shared" si="5"/>
        <v>m</v>
      </c>
      <c r="BI6" s="9" t="str">
        <f t="shared" si="5"/>
        <v>j</v>
      </c>
      <c r="BJ6" s="9" t="str">
        <f t="shared" si="5"/>
        <v>v</v>
      </c>
      <c r="BK6" s="9" t="str">
        <f t="shared" si="5"/>
        <v>s</v>
      </c>
      <c r="BL6" s="9" t="str">
        <f t="shared" si="5"/>
        <v>d</v>
      </c>
    </row>
    <row r="7" spans="1:64" ht="30" hidden="1" customHeight="1">
      <c r="A7" s="36" t="s">
        <v>17</v>
      </c>
      <c r="C7" s="38"/>
      <c r="E7"/>
      <c r="H7" t="str">
        <f ca="1">IF(OR(ISBLANK(task_start),ISBLANK(task_end)),"",task_end-task_start+1)</f>
        <v/>
      </c>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s="3" customFormat="1" ht="30" customHeight="1">
      <c r="A8" s="37" t="s">
        <v>18</v>
      </c>
      <c r="B8" s="11" t="s">
        <v>19</v>
      </c>
      <c r="C8" s="42"/>
      <c r="D8" s="12"/>
      <c r="E8" s="58"/>
      <c r="F8" s="59"/>
      <c r="G8" s="10"/>
      <c r="H8" s="10" t="str">
        <f t="shared" ref="H8:H48" ca="1" si="6">IF(OR(ISBLANK(task_start),ISBLANK(task_end)),"",task_end-task_start+1)</f>
        <v/>
      </c>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s="3" customFormat="1" ht="30" customHeight="1">
      <c r="A9" s="37" t="s">
        <v>20</v>
      </c>
      <c r="B9" s="50" t="s">
        <v>21</v>
      </c>
      <c r="C9" s="73"/>
      <c r="D9" s="13">
        <v>1</v>
      </c>
      <c r="E9" s="60">
        <f>Inicio_del_proyecto</f>
        <v>46070</v>
      </c>
      <c r="F9" s="60">
        <f>E9+5</f>
        <v>46075</v>
      </c>
      <c r="G9" s="10"/>
      <c r="H9" s="10">
        <f t="shared" ca="1" si="6"/>
        <v>6</v>
      </c>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s="3" customFormat="1" ht="30" customHeight="1">
      <c r="A10" s="37" t="s">
        <v>22</v>
      </c>
      <c r="B10" s="50" t="s">
        <v>23</v>
      </c>
      <c r="C10" s="43"/>
      <c r="D10" s="13">
        <v>1</v>
      </c>
      <c r="E10" s="60">
        <f>F9</f>
        <v>46075</v>
      </c>
      <c r="F10" s="60">
        <f>E10+6</f>
        <v>46081</v>
      </c>
      <c r="G10" s="10"/>
      <c r="H10" s="10">
        <f t="shared" ca="1" si="6"/>
        <v>7</v>
      </c>
      <c r="I10" s="23"/>
      <c r="J10" s="23"/>
      <c r="K10" s="23"/>
      <c r="L10" s="23"/>
      <c r="M10" s="23"/>
      <c r="N10" s="23"/>
      <c r="O10" s="23"/>
      <c r="P10" s="23"/>
      <c r="Q10" s="23"/>
      <c r="R10" s="23"/>
      <c r="S10" s="23"/>
      <c r="T10" s="23"/>
      <c r="U10" s="24"/>
      <c r="V10" s="24"/>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s="3" customFormat="1" ht="30" customHeight="1">
      <c r="A11" s="36"/>
      <c r="B11" s="50" t="s">
        <v>24</v>
      </c>
      <c r="C11" s="43"/>
      <c r="D11" s="13">
        <v>1</v>
      </c>
      <c r="E11" s="60">
        <f>F10</f>
        <v>46081</v>
      </c>
      <c r="F11" s="60">
        <f>E11+5</f>
        <v>46086</v>
      </c>
      <c r="G11" s="10"/>
      <c r="H11" s="10">
        <f t="shared" ca="1" si="6"/>
        <v>6</v>
      </c>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s="3" customFormat="1" ht="30" customHeight="1">
      <c r="A12" s="37" t="s">
        <v>25</v>
      </c>
      <c r="B12" s="14" t="s">
        <v>26</v>
      </c>
      <c r="C12" s="44"/>
      <c r="D12" s="15"/>
      <c r="E12" s="61"/>
      <c r="F12" s="62"/>
      <c r="G12" s="10"/>
      <c r="H12" s="10" t="str">
        <f t="shared" ca="1" si="6"/>
        <v/>
      </c>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s="3" customFormat="1" ht="30" customHeight="1">
      <c r="A13" s="37"/>
      <c r="B13" s="51" t="s">
        <v>27</v>
      </c>
      <c r="C13" s="45"/>
      <c r="D13" s="16">
        <v>1</v>
      </c>
      <c r="E13" s="63">
        <f>F11</f>
        <v>46086</v>
      </c>
      <c r="F13" s="63">
        <f>E13+3</f>
        <v>46089</v>
      </c>
      <c r="G13" s="10"/>
      <c r="H13" s="10">
        <f t="shared" ca="1" si="6"/>
        <v>4</v>
      </c>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s="3" customFormat="1" ht="30" customHeight="1">
      <c r="A14" s="36"/>
      <c r="B14" s="51" t="s">
        <v>28</v>
      </c>
      <c r="C14" s="45"/>
      <c r="D14" s="16">
        <v>1</v>
      </c>
      <c r="E14" s="63">
        <f>F13</f>
        <v>46089</v>
      </c>
      <c r="F14" s="63">
        <f>E14+2</f>
        <v>46091</v>
      </c>
      <c r="G14" s="10"/>
      <c r="H14" s="10">
        <f t="shared" ca="1" si="6"/>
        <v>3</v>
      </c>
      <c r="I14" s="23"/>
      <c r="J14" s="23"/>
      <c r="K14" s="23"/>
      <c r="L14" s="23"/>
      <c r="M14" s="23"/>
      <c r="N14" s="23"/>
      <c r="O14" s="23"/>
      <c r="P14" s="23"/>
      <c r="Q14" s="23"/>
      <c r="R14" s="23"/>
      <c r="S14" s="23"/>
      <c r="T14" s="23"/>
      <c r="U14" s="24"/>
      <c r="V14" s="24"/>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s="3" customFormat="1" ht="30" customHeight="1">
      <c r="A15" s="36" t="s">
        <v>29</v>
      </c>
      <c r="B15" s="17" t="s">
        <v>30</v>
      </c>
      <c r="C15" s="46"/>
      <c r="D15" s="18"/>
      <c r="E15" s="64"/>
      <c r="F15" s="65"/>
      <c r="G15" s="10"/>
      <c r="H15" s="10" t="str">
        <f t="shared" ca="1" si="6"/>
        <v/>
      </c>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s="3" customFormat="1" ht="30" customHeight="1">
      <c r="A16" s="36"/>
      <c r="B16" s="52" t="s">
        <v>31</v>
      </c>
      <c r="C16" s="47"/>
      <c r="D16" s="19">
        <v>1</v>
      </c>
      <c r="E16" s="66">
        <f>F14</f>
        <v>46091</v>
      </c>
      <c r="F16" s="66">
        <f>E16+1</f>
        <v>46092</v>
      </c>
      <c r="G16" s="10"/>
      <c r="H16" s="10">
        <f t="shared" ca="1" si="6"/>
        <v>2</v>
      </c>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s="3" customFormat="1" ht="30" customHeight="1">
      <c r="A17" s="36"/>
      <c r="B17" s="52" t="s">
        <v>32</v>
      </c>
      <c r="C17" s="47"/>
      <c r="D17" s="19">
        <v>1</v>
      </c>
      <c r="E17" s="66">
        <f>F16+1</f>
        <v>46093</v>
      </c>
      <c r="F17" s="66">
        <f>E17+1</f>
        <v>46094</v>
      </c>
      <c r="G17" s="10"/>
      <c r="H17" s="10">
        <f t="shared" ca="1" si="6"/>
        <v>2</v>
      </c>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s="3" customFormat="1" ht="30" customHeight="1">
      <c r="A18" s="36"/>
      <c r="B18" s="52" t="s">
        <v>33</v>
      </c>
      <c r="C18" s="47"/>
      <c r="D18" s="19">
        <v>1</v>
      </c>
      <c r="E18" s="66">
        <f>F17+1</f>
        <v>46095</v>
      </c>
      <c r="F18" s="66">
        <f t="shared" ref="F18:F24" si="7">E18+1</f>
        <v>46096</v>
      </c>
      <c r="G18" s="10"/>
      <c r="H18" s="10">
        <f t="shared" ca="1" si="6"/>
        <v>2</v>
      </c>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s="3" customFormat="1" ht="30" customHeight="1">
      <c r="A19" s="36"/>
      <c r="B19" s="52" t="s">
        <v>34</v>
      </c>
      <c r="C19" s="47"/>
      <c r="D19" s="19">
        <v>1</v>
      </c>
      <c r="E19" s="66">
        <f t="shared" ref="E19:E24" si="8">F18+1</f>
        <v>46097</v>
      </c>
      <c r="F19" s="66">
        <f t="shared" si="7"/>
        <v>46098</v>
      </c>
      <c r="G19" s="10"/>
      <c r="H19" s="10">
        <f t="shared" ca="1" si="6"/>
        <v>2</v>
      </c>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s="3" customFormat="1" ht="30" customHeight="1">
      <c r="A20" s="36"/>
      <c r="B20" s="52" t="s">
        <v>35</v>
      </c>
      <c r="C20" s="47"/>
      <c r="D20" s="19">
        <v>1</v>
      </c>
      <c r="E20" s="66">
        <f>F19+1</f>
        <v>46099</v>
      </c>
      <c r="F20" s="66">
        <f t="shared" si="7"/>
        <v>46100</v>
      </c>
      <c r="G20" s="10"/>
      <c r="H20" s="10">
        <f t="shared" ca="1" si="6"/>
        <v>2</v>
      </c>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s="3" customFormat="1" ht="30" customHeight="1">
      <c r="A21" s="36"/>
      <c r="B21" s="52" t="s">
        <v>36</v>
      </c>
      <c r="C21" s="47"/>
      <c r="D21" s="19">
        <v>1</v>
      </c>
      <c r="E21" s="66">
        <f t="shared" ref="E21:E24" si="9">F20+1</f>
        <v>46101</v>
      </c>
      <c r="F21" s="66">
        <f t="shared" si="7"/>
        <v>46102</v>
      </c>
      <c r="G21" s="10"/>
      <c r="H21" s="10"/>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s="3" customFormat="1" ht="30" customHeight="1">
      <c r="A22" s="36"/>
      <c r="B22" s="52" t="s">
        <v>37</v>
      </c>
      <c r="C22" s="47"/>
      <c r="D22" s="19">
        <v>1</v>
      </c>
      <c r="E22" s="66">
        <f t="shared" si="9"/>
        <v>46103</v>
      </c>
      <c r="F22" s="66">
        <f t="shared" si="7"/>
        <v>46104</v>
      </c>
      <c r="G22" s="10"/>
      <c r="H22" s="10"/>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s="3" customFormat="1" ht="30" customHeight="1">
      <c r="A23" s="36"/>
      <c r="B23" s="52" t="s">
        <v>38</v>
      </c>
      <c r="C23" s="47"/>
      <c r="D23" s="19">
        <v>1</v>
      </c>
      <c r="E23" s="66">
        <f t="shared" si="8"/>
        <v>46105</v>
      </c>
      <c r="F23" s="66">
        <f t="shared" si="7"/>
        <v>46106</v>
      </c>
      <c r="G23" s="10"/>
      <c r="H23" s="10"/>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s="3" customFormat="1" ht="30" customHeight="1">
      <c r="A24" s="36"/>
      <c r="B24" s="52" t="s">
        <v>39</v>
      </c>
      <c r="C24" s="47"/>
      <c r="D24" s="19">
        <v>1</v>
      </c>
      <c r="E24" s="66">
        <f>F23+1</f>
        <v>46107</v>
      </c>
      <c r="F24" s="66">
        <f t="shared" si="7"/>
        <v>46108</v>
      </c>
      <c r="G24" s="10"/>
      <c r="H24" s="10"/>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s="3" customFormat="1" ht="30" customHeight="1">
      <c r="A25" s="36" t="s">
        <v>29</v>
      </c>
      <c r="B25" s="20" t="s">
        <v>40</v>
      </c>
      <c r="C25" s="48"/>
      <c r="D25" s="21"/>
      <c r="E25" s="67"/>
      <c r="F25" s="68"/>
      <c r="G25" s="10"/>
      <c r="H25" s="10" t="str">
        <f t="shared" ca="1" si="6"/>
        <v/>
      </c>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s="3" customFormat="1" ht="30" customHeight="1">
      <c r="A26" s="36"/>
      <c r="B26" s="53" t="s">
        <v>41</v>
      </c>
      <c r="C26" s="49"/>
      <c r="D26" s="22">
        <v>1</v>
      </c>
      <c r="E26" s="69">
        <f>F24+3</f>
        <v>46111</v>
      </c>
      <c r="F26" s="69">
        <f>E26+6</f>
        <v>46117</v>
      </c>
      <c r="G26" s="10"/>
      <c r="H26" s="10">
        <f t="shared" ca="1" si="6"/>
        <v>7</v>
      </c>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s="3" customFormat="1" ht="30" customHeight="1">
      <c r="A27" s="36"/>
      <c r="B27" s="53" t="s">
        <v>42</v>
      </c>
      <c r="C27" s="49"/>
      <c r="D27" s="22">
        <v>1</v>
      </c>
      <c r="E27" s="69">
        <f>E26+3</f>
        <v>46114</v>
      </c>
      <c r="F27" s="69">
        <f t="shared" ref="F27:F30" si="10">E27+6</f>
        <v>46120</v>
      </c>
      <c r="G27" s="10"/>
      <c r="H27" s="10">
        <f t="shared" ca="1" si="6"/>
        <v>7</v>
      </c>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s="3" customFormat="1" ht="30" customHeight="1">
      <c r="A28" s="36"/>
      <c r="B28" s="53" t="s">
        <v>43</v>
      </c>
      <c r="C28" s="49"/>
      <c r="D28" s="22">
        <v>1</v>
      </c>
      <c r="E28" s="69">
        <f>F26</f>
        <v>46117</v>
      </c>
      <c r="F28" s="69">
        <f>E28+5</f>
        <v>46122</v>
      </c>
      <c r="G28" s="10"/>
      <c r="H28" s="10">
        <f t="shared" ca="1" si="6"/>
        <v>6</v>
      </c>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s="3" customFormat="1" ht="30" customHeight="1">
      <c r="A29" s="36"/>
      <c r="B29" s="53" t="s">
        <v>44</v>
      </c>
      <c r="C29" s="49"/>
      <c r="D29" s="22">
        <v>1</v>
      </c>
      <c r="E29" s="69">
        <f>F27</f>
        <v>46120</v>
      </c>
      <c r="F29" s="69">
        <f>E29+4</f>
        <v>46124</v>
      </c>
      <c r="G29" s="10"/>
      <c r="H29" s="10">
        <f t="shared" ca="1" si="6"/>
        <v>5</v>
      </c>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s="3" customFormat="1" ht="30" customHeight="1">
      <c r="A30" s="36"/>
      <c r="B30" s="53" t="s">
        <v>45</v>
      </c>
      <c r="C30" s="49"/>
      <c r="D30" s="22">
        <v>0</v>
      </c>
      <c r="E30" s="69">
        <f>F28</f>
        <v>46122</v>
      </c>
      <c r="F30" s="69">
        <f>E30+5</f>
        <v>46127</v>
      </c>
      <c r="G30" s="10"/>
      <c r="H30" s="10">
        <f t="shared" ca="1" si="6"/>
        <v>6</v>
      </c>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s="3" customFormat="1" ht="30" customHeight="1">
      <c r="A31" s="36" t="s">
        <v>46</v>
      </c>
      <c r="B31" s="11" t="s">
        <v>47</v>
      </c>
      <c r="C31" s="42"/>
      <c r="D31" s="12"/>
      <c r="E31" s="58"/>
      <c r="F31" s="59"/>
      <c r="G31" s="10"/>
      <c r="H31" s="10" t="str">
        <f t="shared" ca="1" si="6"/>
        <v/>
      </c>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s="3" customFormat="1" ht="30" customHeight="1">
      <c r="A32" s="37" t="s">
        <v>48</v>
      </c>
      <c r="B32" s="50" t="s">
        <v>49</v>
      </c>
      <c r="C32" s="43"/>
      <c r="D32" s="13">
        <v>0</v>
      </c>
      <c r="E32" s="60">
        <f>F30+1</f>
        <v>46128</v>
      </c>
      <c r="F32" s="60">
        <f>E32+6</f>
        <v>46134</v>
      </c>
      <c r="G32" s="10"/>
      <c r="H32" s="10">
        <f t="shared" ca="1" si="6"/>
        <v>7</v>
      </c>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2:64" ht="30" customHeight="1">
      <c r="B33" s="50" t="s">
        <v>50</v>
      </c>
      <c r="C33" s="43"/>
      <c r="D33" s="13">
        <v>0</v>
      </c>
      <c r="E33" s="60">
        <f>F32+1</f>
        <v>46135</v>
      </c>
      <c r="F33" s="60">
        <f t="shared" ref="F33:F34" si="11">E33+6</f>
        <v>46141</v>
      </c>
      <c r="G33" s="10"/>
      <c r="H33" s="10">
        <f t="shared" ca="1" si="6"/>
        <v>7</v>
      </c>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2:64" ht="30" customHeight="1">
      <c r="B34" s="50" t="s">
        <v>51</v>
      </c>
      <c r="C34" s="43"/>
      <c r="D34" s="13">
        <v>0</v>
      </c>
      <c r="E34" s="60">
        <f>F33+1</f>
        <v>46142</v>
      </c>
      <c r="F34" s="60">
        <f>E34+6</f>
        <v>46148</v>
      </c>
      <c r="G34" s="10"/>
      <c r="H34" s="10">
        <f t="shared" ca="1" si="6"/>
        <v>7</v>
      </c>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2:64" ht="30" customHeight="1">
      <c r="B35" s="14" t="s">
        <v>52</v>
      </c>
      <c r="C35" s="44"/>
      <c r="D35" s="15"/>
      <c r="E35" s="61"/>
      <c r="F35" s="62"/>
      <c r="G35" s="10"/>
      <c r="H35" s="10" t="str">
        <f t="shared" ca="1" si="6"/>
        <v/>
      </c>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2:64" ht="30" customHeight="1">
      <c r="B36" s="51" t="s">
        <v>53</v>
      </c>
      <c r="C36" s="45"/>
      <c r="D36" s="16">
        <v>0</v>
      </c>
      <c r="E36" s="63">
        <f>E32</f>
        <v>46128</v>
      </c>
      <c r="F36" s="63">
        <f>E32+2</f>
        <v>46130</v>
      </c>
      <c r="G36" s="10"/>
      <c r="H36" s="10">
        <f t="shared" ca="1" si="6"/>
        <v>3</v>
      </c>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2:64" ht="30" customHeight="1">
      <c r="B37" s="51" t="s">
        <v>54</v>
      </c>
      <c r="C37" s="45"/>
      <c r="D37" s="16">
        <v>0</v>
      </c>
      <c r="E37" s="63">
        <f>F36+2</f>
        <v>46132</v>
      </c>
      <c r="F37" s="63">
        <f>E37+5</f>
        <v>46137</v>
      </c>
      <c r="G37" s="10"/>
      <c r="H37" s="10">
        <f t="shared" ca="1" si="6"/>
        <v>6</v>
      </c>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2:64" ht="30" customHeight="1">
      <c r="B38" s="51" t="s">
        <v>55</v>
      </c>
      <c r="C38" s="45"/>
      <c r="D38" s="16">
        <v>0</v>
      </c>
      <c r="E38" s="63">
        <f>F36+6</f>
        <v>46136</v>
      </c>
      <c r="F38" s="63">
        <f>E38+3</f>
        <v>46139</v>
      </c>
      <c r="G38" s="10"/>
      <c r="H38" s="10">
        <f t="shared" ca="1" si="6"/>
        <v>4</v>
      </c>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2:64" ht="30" customHeight="1">
      <c r="B39" s="51" t="s">
        <v>56</v>
      </c>
      <c r="C39" s="45"/>
      <c r="D39" s="16">
        <v>0</v>
      </c>
      <c r="E39" s="63">
        <f>F38-1</f>
        <v>46138</v>
      </c>
      <c r="F39" s="63">
        <f>E39+6</f>
        <v>46144</v>
      </c>
      <c r="G39" s="10"/>
      <c r="H39" s="10">
        <f t="shared" ca="1" si="6"/>
        <v>7</v>
      </c>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2:64" ht="30" customHeight="1">
      <c r="B40" s="17" t="s">
        <v>57</v>
      </c>
      <c r="C40" s="46"/>
      <c r="D40" s="18"/>
      <c r="E40" s="64"/>
      <c r="F40" s="65"/>
      <c r="G40" s="10"/>
      <c r="H40" s="10" t="str">
        <f t="shared" ca="1" si="6"/>
        <v/>
      </c>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2:64" ht="30" customHeight="1">
      <c r="B41" s="52" t="s">
        <v>58</v>
      </c>
      <c r="C41" s="47"/>
      <c r="D41" s="19">
        <v>0</v>
      </c>
      <c r="E41" s="66">
        <f>F39+5</f>
        <v>46149</v>
      </c>
      <c r="F41" s="66">
        <f>E41+5</f>
        <v>46154</v>
      </c>
      <c r="G41" s="10"/>
      <c r="H41" s="10">
        <f t="shared" ca="1" si="6"/>
        <v>6</v>
      </c>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2:64" ht="30" customHeight="1">
      <c r="B42" s="52" t="s">
        <v>59</v>
      </c>
      <c r="C42" s="47"/>
      <c r="D42" s="19">
        <v>0</v>
      </c>
      <c r="E42" s="66">
        <f>F41-3</f>
        <v>46151</v>
      </c>
      <c r="F42" s="66">
        <f>E42+5</f>
        <v>46156</v>
      </c>
      <c r="G42" s="10"/>
      <c r="H42" s="10">
        <f t="shared" ca="1" si="6"/>
        <v>6</v>
      </c>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2:64" ht="30" customHeight="1">
      <c r="B43" s="52" t="s">
        <v>60</v>
      </c>
      <c r="C43" s="47"/>
      <c r="D43" s="19">
        <v>0</v>
      </c>
      <c r="E43" s="66">
        <f>F42-2</f>
        <v>46154</v>
      </c>
      <c r="F43" s="66">
        <f>E43+4</f>
        <v>46158</v>
      </c>
      <c r="G43" s="10"/>
      <c r="H43" s="10">
        <f t="shared" ca="1" si="6"/>
        <v>5</v>
      </c>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2:64" ht="30" customHeight="1">
      <c r="B44" s="52" t="s">
        <v>61</v>
      </c>
      <c r="C44" s="47"/>
      <c r="D44" s="19">
        <v>0</v>
      </c>
      <c r="E44" s="66">
        <f>F43-2</f>
        <v>46156</v>
      </c>
      <c r="F44" s="66">
        <f>E44+4</f>
        <v>46160</v>
      </c>
      <c r="G44" s="10"/>
      <c r="H44" s="10">
        <f t="shared" ca="1" si="6"/>
        <v>5</v>
      </c>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2:64" ht="30" customHeight="1">
      <c r="B45" s="20" t="s">
        <v>62</v>
      </c>
      <c r="C45" s="48"/>
      <c r="D45" s="21"/>
      <c r="E45" s="67"/>
      <c r="F45" s="68"/>
      <c r="G45" s="10"/>
      <c r="H45" s="10" t="str">
        <f t="shared" ca="1" si="6"/>
        <v/>
      </c>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2:64" ht="30" customHeight="1">
      <c r="B46" s="53" t="s">
        <v>63</v>
      </c>
      <c r="C46" s="49"/>
      <c r="D46" s="22">
        <v>0</v>
      </c>
      <c r="E46" s="69">
        <f>F44-1</f>
        <v>46159</v>
      </c>
      <c r="F46" s="69">
        <f>E46+2</f>
        <v>46161</v>
      </c>
      <c r="G46" s="10"/>
      <c r="H46" s="10">
        <f t="shared" ca="1" si="6"/>
        <v>3</v>
      </c>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2:64" ht="30" customHeight="1">
      <c r="B47" s="53" t="s">
        <v>64</v>
      </c>
      <c r="C47" s="49"/>
      <c r="D47" s="22">
        <v>0</v>
      </c>
      <c r="E47" s="69">
        <f>E46+1</f>
        <v>46160</v>
      </c>
      <c r="F47" s="69">
        <f>E47+2</f>
        <v>46162</v>
      </c>
      <c r="G47" s="10"/>
      <c r="H47" s="10">
        <f t="shared" ca="1" si="6"/>
        <v>3</v>
      </c>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2:64" ht="30" customHeight="1">
      <c r="B48" s="53" t="s">
        <v>65</v>
      </c>
      <c r="C48" s="49"/>
      <c r="D48" s="22">
        <v>0</v>
      </c>
      <c r="E48" s="69">
        <f>F46+2</f>
        <v>46163</v>
      </c>
      <c r="F48" s="69">
        <f>E48</f>
        <v>46163</v>
      </c>
      <c r="G48" s="10"/>
      <c r="H48" s="10">
        <f t="shared" ca="1" si="6"/>
        <v>1</v>
      </c>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sheetData>
  <mergeCells count="8">
    <mergeCell ref="AK4:AQ4"/>
    <mergeCell ref="AR4:AX4"/>
    <mergeCell ref="AY4:BE4"/>
    <mergeCell ref="BF4:BL4"/>
    <mergeCell ref="I4:O4"/>
    <mergeCell ref="P4:V4"/>
    <mergeCell ref="W4:AC4"/>
    <mergeCell ref="AD4:AJ4"/>
  </mergeCells>
  <conditionalFormatting sqref="D7:D48">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8">
    <cfRule type="expression" dxfId="2" priority="33">
      <formula>AND(TODAY()&gt;=I$5,TODAY()&lt;J$5)</formula>
    </cfRule>
  </conditionalFormatting>
  <conditionalFormatting sqref="I7:BL48">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4FFEF831-81DF-4311-97FC-DAEC80A61C4C}">
      <formula1>1</formula1>
    </dataValidation>
  </dataValidations>
  <printOptions horizontalCentered="1"/>
  <pageMargins left="0.35" right="0.35" top="0.35" bottom="0.5" header="0.3" footer="0.3"/>
  <pageSetup paperSize="9" scale="51"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cols>
    <col min="1" max="1" width="87.140625" style="26" customWidth="1"/>
    <col min="2" max="16384" width="9.140625" style="2"/>
  </cols>
  <sheetData>
    <row r="1" spans="1:2" ht="46.5" customHeight="1"/>
    <row r="2" spans="1:2" s="28" customFormat="1" ht="15.75">
      <c r="A2" s="27" t="s">
        <v>66</v>
      </c>
      <c r="B2" s="27"/>
    </row>
    <row r="3" spans="1:2" s="32" customFormat="1" ht="27" customHeight="1">
      <c r="A3" s="57" t="s">
        <v>67</v>
      </c>
      <c r="B3" s="33"/>
    </row>
    <row r="4" spans="1:2" s="29" customFormat="1" ht="26.25">
      <c r="A4" s="30" t="s">
        <v>68</v>
      </c>
    </row>
    <row r="5" spans="1:2" ht="74.099999999999994" customHeight="1">
      <c r="A5" s="31" t="s">
        <v>69</v>
      </c>
    </row>
    <row r="6" spans="1:2" ht="26.25" customHeight="1">
      <c r="A6" s="30" t="s">
        <v>70</v>
      </c>
    </row>
    <row r="7" spans="1:2" s="26" customFormat="1" ht="228" customHeight="1">
      <c r="A7" s="35" t="s">
        <v>71</v>
      </c>
    </row>
    <row r="8" spans="1:2" s="29" customFormat="1" ht="26.25">
      <c r="A8" s="30" t="s">
        <v>72</v>
      </c>
    </row>
    <row r="9" spans="1:2" ht="75">
      <c r="A9" s="31" t="s">
        <v>73</v>
      </c>
    </row>
    <row r="10" spans="1:2" s="26" customFormat="1" ht="27.95" customHeight="1">
      <c r="A10" s="34" t="s">
        <v>74</v>
      </c>
    </row>
    <row r="11" spans="1:2" s="29" customFormat="1" ht="26.25">
      <c r="A11" s="30" t="s">
        <v>75</v>
      </c>
    </row>
    <row r="12" spans="1:2" ht="30">
      <c r="A12" s="31" t="s">
        <v>76</v>
      </c>
    </row>
    <row r="13" spans="1:2" s="26" customFormat="1" ht="27.95" customHeight="1">
      <c r="A13" s="34" t="s">
        <v>77</v>
      </c>
    </row>
    <row r="14" spans="1:2" s="29" customFormat="1" ht="26.25">
      <c r="A14" s="30" t="s">
        <v>78</v>
      </c>
    </row>
    <row r="15" spans="1:2" ht="93.75" customHeight="1">
      <c r="A15" s="31" t="s">
        <v>79</v>
      </c>
    </row>
    <row r="16" spans="1:2" ht="90">
      <c r="A16" s="31" t="s">
        <v>80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E8ED85-58B3-4608-8E91-0433556D50CE}"/>
</file>

<file path=customXml/itemProps2.xml><?xml version="1.0" encoding="utf-8"?>
<ds:datastoreItem xmlns:ds="http://schemas.openxmlformats.org/officeDocument/2006/customXml" ds:itemID="{5144944C-1F1D-4162-962A-96F3FC8455D8}"/>
</file>

<file path=customXml/itemProps3.xml><?xml version="1.0" encoding="utf-8"?>
<ds:datastoreItem xmlns:ds="http://schemas.openxmlformats.org/officeDocument/2006/customXml" ds:itemID="{708DBB9E-6D89-4A94-9DC5-964B7833E11C}"/>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Felipe Valderrama Peñaloza</cp:lastModifiedBy>
  <cp:revision/>
  <dcterms:created xsi:type="dcterms:W3CDTF">2026-03-26T04:33:24Z</dcterms:created>
  <dcterms:modified xsi:type="dcterms:W3CDTF">2026-05-05T14:47:47Z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